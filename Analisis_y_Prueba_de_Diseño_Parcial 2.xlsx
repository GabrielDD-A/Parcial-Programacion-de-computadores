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IS\Downloads\"/>
    </mc:Choice>
  </mc:AlternateContent>
  <xr:revisionPtr revIDLastSave="0" documentId="8_{8F3A6A74-AD3E-462C-BFCA-1978403429F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nálisis" sheetId="1" r:id="rId1"/>
    <sheet name="Prueba de diseñ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9" i="2" l="1"/>
  <c r="D79" i="2"/>
  <c r="C79" i="2"/>
  <c r="B79" i="2"/>
  <c r="E78" i="2"/>
  <c r="D78" i="2"/>
  <c r="C78" i="2"/>
  <c r="K73" i="2"/>
  <c r="J73" i="2"/>
  <c r="I73" i="2"/>
  <c r="H73" i="2"/>
  <c r="G73" i="2"/>
  <c r="F73" i="2"/>
  <c r="B78" i="2" s="1"/>
  <c r="D73" i="2"/>
  <c r="E73" i="2" s="1"/>
  <c r="E65" i="2"/>
  <c r="D65" i="2"/>
  <c r="C65" i="2"/>
  <c r="B65" i="2"/>
  <c r="E64" i="2"/>
  <c r="K59" i="2"/>
  <c r="J59" i="2"/>
  <c r="D64" i="2" s="1"/>
  <c r="I59" i="2"/>
  <c r="H59" i="2"/>
  <c r="G59" i="2"/>
  <c r="C64" i="2" s="1"/>
  <c r="F59" i="2"/>
  <c r="B64" i="2" s="1"/>
  <c r="D59" i="2"/>
  <c r="E59" i="2" s="1"/>
  <c r="E53" i="2"/>
  <c r="E52" i="2"/>
  <c r="A50" i="2"/>
  <c r="E47" i="2"/>
  <c r="D47" i="2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K40" i="2"/>
  <c r="K41" i="2" s="1"/>
  <c r="K42" i="2" s="1"/>
  <c r="K43" i="2" s="1"/>
  <c r="K44" i="2" s="1"/>
  <c r="K45" i="2" s="1"/>
  <c r="K46" i="2" s="1"/>
  <c r="K47" i="2" s="1"/>
  <c r="D53" i="2" s="1"/>
  <c r="J40" i="2"/>
  <c r="J41" i="2" s="1"/>
  <c r="J42" i="2" s="1"/>
  <c r="J43" i="2" s="1"/>
  <c r="J44" i="2" s="1"/>
  <c r="J45" i="2" s="1"/>
  <c r="J46" i="2" s="1"/>
  <c r="J47" i="2" s="1"/>
  <c r="D52" i="2" s="1"/>
  <c r="I40" i="2"/>
  <c r="I41" i="2" s="1"/>
  <c r="I42" i="2" s="1"/>
  <c r="I43" i="2" s="1"/>
  <c r="I44" i="2" s="1"/>
  <c r="I45" i="2" s="1"/>
  <c r="I46" i="2" s="1"/>
  <c r="I47" i="2" s="1"/>
  <c r="C53" i="2" s="1"/>
  <c r="H40" i="2"/>
  <c r="H41" i="2" s="1"/>
  <c r="H42" i="2" s="1"/>
  <c r="H43" i="2" s="1"/>
  <c r="H44" i="2" s="1"/>
  <c r="H45" i="2" s="1"/>
  <c r="H46" i="2" s="1"/>
  <c r="H47" i="2" s="1"/>
  <c r="B53" i="2" s="1"/>
  <c r="G40" i="2"/>
  <c r="G41" i="2" s="1"/>
  <c r="G42" i="2" s="1"/>
  <c r="G43" i="2" s="1"/>
  <c r="G44" i="2" s="1"/>
  <c r="G45" i="2" s="1"/>
  <c r="G46" i="2" s="1"/>
  <c r="G47" i="2" s="1"/>
  <c r="C52" i="2" s="1"/>
  <c r="F40" i="2"/>
  <c r="F41" i="2" s="1"/>
  <c r="F42" i="2" s="1"/>
  <c r="F43" i="2" s="1"/>
  <c r="F44" i="2" s="1"/>
  <c r="F45" i="2" s="1"/>
  <c r="F46" i="2" s="1"/>
  <c r="F47" i="2" s="1"/>
  <c r="B52" i="2" s="1"/>
  <c r="E40" i="2"/>
  <c r="D40" i="2"/>
  <c r="E33" i="2"/>
  <c r="E32" i="2"/>
  <c r="A30" i="2"/>
  <c r="D27" i="2"/>
  <c r="E27" i="2" s="1"/>
  <c r="D26" i="2"/>
  <c r="E26" i="2" s="1"/>
  <c r="K25" i="2"/>
  <c r="K26" i="2" s="1"/>
  <c r="K27" i="2" s="1"/>
  <c r="D33" i="2" s="1"/>
  <c r="D25" i="2"/>
  <c r="E25" i="2" s="1"/>
  <c r="K24" i="2"/>
  <c r="J24" i="2"/>
  <c r="J25" i="2" s="1"/>
  <c r="J26" i="2" s="1"/>
  <c r="J27" i="2" s="1"/>
  <c r="D32" i="2" s="1"/>
  <c r="I24" i="2"/>
  <c r="I25" i="2" s="1"/>
  <c r="I26" i="2" s="1"/>
  <c r="I27" i="2" s="1"/>
  <c r="C33" i="2" s="1"/>
  <c r="H24" i="2"/>
  <c r="H25" i="2" s="1"/>
  <c r="H26" i="2" s="1"/>
  <c r="H27" i="2" s="1"/>
  <c r="B33" i="2" s="1"/>
  <c r="G24" i="2"/>
  <c r="G25" i="2" s="1"/>
  <c r="G26" i="2" s="1"/>
  <c r="G27" i="2" s="1"/>
  <c r="C32" i="2" s="1"/>
  <c r="F24" i="2"/>
  <c r="F25" i="2" s="1"/>
  <c r="F26" i="2" s="1"/>
  <c r="F27" i="2" s="1"/>
  <c r="B32" i="2" s="1"/>
  <c r="E24" i="2"/>
  <c r="D24" i="2"/>
  <c r="E17" i="2"/>
  <c r="E16" i="2"/>
  <c r="A14" i="2"/>
  <c r="D11" i="2"/>
  <c r="E11" i="2" s="1"/>
  <c r="D10" i="2"/>
  <c r="E10" i="2" s="1"/>
  <c r="K9" i="2"/>
  <c r="K10" i="2" s="1"/>
  <c r="K11" i="2" s="1"/>
  <c r="D17" i="2" s="1"/>
  <c r="J9" i="2"/>
  <c r="J10" i="2" s="1"/>
  <c r="J11" i="2" s="1"/>
  <c r="D16" i="2" s="1"/>
  <c r="D9" i="2"/>
  <c r="E9" i="2" s="1"/>
  <c r="K8" i="2"/>
  <c r="J8" i="2"/>
  <c r="I8" i="2"/>
  <c r="I9" i="2" s="1"/>
  <c r="I10" i="2" s="1"/>
  <c r="I11" i="2" s="1"/>
  <c r="C17" i="2" s="1"/>
  <c r="H8" i="2"/>
  <c r="H9" i="2" s="1"/>
  <c r="H10" i="2" s="1"/>
  <c r="H11" i="2" s="1"/>
  <c r="B17" i="2" s="1"/>
  <c r="G8" i="2"/>
  <c r="G9" i="2" s="1"/>
  <c r="G10" i="2" s="1"/>
  <c r="G11" i="2" s="1"/>
  <c r="C16" i="2" s="1"/>
  <c r="F8" i="2"/>
  <c r="F9" i="2" s="1"/>
  <c r="F10" i="2" s="1"/>
  <c r="F11" i="2" s="1"/>
  <c r="B16" i="2" s="1"/>
  <c r="D8" i="2"/>
  <c r="E8" i="2" s="1"/>
  <c r="A62" i="2" l="1"/>
  <c r="A76" i="2"/>
</calcChain>
</file>

<file path=xl/sharedStrings.xml><?xml version="1.0" encoding="utf-8"?>
<sst xmlns="http://schemas.openxmlformats.org/spreadsheetml/2006/main" count="169" uniqueCount="84">
  <si>
    <t>Datos de entrada</t>
  </si>
  <si>
    <t>Procesos</t>
  </si>
  <si>
    <t>Datos de salida</t>
  </si>
  <si>
    <t>temp: temperatura leída del sensor [°C]. Real. Restricción: entre -10 y 60.</t>
  </si>
  <si>
    <t>1. Validar temp y hum contra el rango válido del sensor; si no son válidos mostrar «Dato inválido» y repetir la lectura sin contarla.</t>
  </si>
  <si>
    <t>Por cada lectura: número de lectura, temp, hum, estado y acción correctiva.</t>
  </si>
  <si>
    <t>hum: humedad relativa leída del sensor [%]. Real. Restricción: entre 0 y 100.</t>
  </si>
  <si>
    <t>2. Incrementar el contador: lectura ← lectura + 1.</t>
  </si>
  <si>
    <t>Mensaje «Dato inválido. Ingrese nuevamente la lectura (no se cuenta).» cuando aplique.</t>
  </si>
  <si>
    <t>Se ingresa un par (temp, hum) por lectura. Si algún valor está fuera del rango válido se vuelve a pedir y no cuenta como lectura.</t>
  </si>
  <si>
    <t>3. Clasificar el estado: Crítico si temp &lt; 12 o temp &gt; 32 o hum &lt; 40 o hum &gt; 90; Óptimo si temp entre 18 y 26 y hum entre 60 y 80 (inclusive); en otro caso Observación.</t>
  </si>
  <si>
    <t>Resultado final: Condiciones óptimas / Cultivo estabilizado / Alerta crítica / Revisión técnica.</t>
  </si>
  <si>
    <t>Datos fijos (definidos por el agrónomo): rangos óptimos, valores críticos y máximo de 8 lecturas.</t>
  </si>
  <si>
    <t>4. Si el estado es Observación, determinar la acción correctiva: temp &gt; 26 → Ventilar; temp &lt; 18 → Encender calefacción; hum &gt; 80 → Deshumidificar; hum &lt; 60 → Nebulizar. Si ambas variables están fuera de rango se muestran las dos acciones.</t>
  </si>
  <si>
    <t>Lecturas tomadas (lectura).</t>
  </si>
  <si>
    <t>5. Actualizar acumuladores: minTemp, maxTemp, minHum, maxHum, sumTemp, sumHum y las secuencias de valores.</t>
  </si>
  <si>
    <t>Temperatura: mínima (minTemp), máxima (maxTemp) y promedio (promTemp).</t>
  </si>
  <si>
    <t>6. Ciclo: repetir las lecturas mientras el estado sea Observación y lectura &lt; 8.</t>
  </si>
  <si>
    <t>Humedad: mínima (minHum), máxima (maxHum) y promedio (promHum).</t>
  </si>
  <si>
    <t>7. Terminación: Cultivo estabilizado (estado Óptimo tras observación), Alerta crítica (estado Crítico) o Revisión técnica (8 lecturas en observación).</t>
  </si>
  <si>
    <t>Secuencia de temperaturas y secuencia de humedades, separadas por punto y coma.</t>
  </si>
  <si>
    <t>8. Calcular promedios: promTemp = sumTemp / lectura; promHum = sumHum / lectura.</t>
  </si>
  <si>
    <t>Identificadores (los mismos del diagrama, la prueba de escritorio y el código)</t>
  </si>
  <si>
    <t>Identificador</t>
  </si>
  <si>
    <t>Tipo / uso</t>
  </si>
  <si>
    <t>Descripción</t>
  </si>
  <si>
    <t>lectura</t>
  </si>
  <si>
    <t>Entero (contador)</t>
  </si>
  <si>
    <t>Número de lecturas válidas tomadas.</t>
  </si>
  <si>
    <t>temp</t>
  </si>
  <si>
    <t>Real (entrada)</t>
  </si>
  <si>
    <t>Temperatura leída [°C].</t>
  </si>
  <si>
    <t>hum</t>
  </si>
  <si>
    <t>Humedad relativa leída [%].</t>
  </si>
  <si>
    <t>estado</t>
  </si>
  <si>
    <t>Texto</t>
  </si>
  <si>
    <t>Observación, Óptimo o Crítico.</t>
  </si>
  <si>
    <t>acción</t>
  </si>
  <si>
    <t>Acción correctiva o mensaje final de la lectura.</t>
  </si>
  <si>
    <t>minTemp / maxTemp</t>
  </si>
  <si>
    <t>Real (acumulador)</t>
  </si>
  <si>
    <t>Mínimo y máximo de temperatura registrados.</t>
  </si>
  <si>
    <t>minHum / maxHum</t>
  </si>
  <si>
    <t>Mínimo y máximo de humedad registrados.</t>
  </si>
  <si>
    <t>sumTemp / sumHum</t>
  </si>
  <si>
    <t>Suma de temperaturas y de humedades (para el promedio).</t>
  </si>
  <si>
    <t>promTemp / promHum</t>
  </si>
  <si>
    <t>Real (salida)</t>
  </si>
  <si>
    <t>Promedios = suma / lectura.</t>
  </si>
  <si>
    <t>secTemp / secHum</t>
  </si>
  <si>
    <t>Texto (salida)</t>
  </si>
  <si>
    <t>Secuencias de valores válidos separadas por «; ».</t>
  </si>
  <si>
    <t>resultado</t>
  </si>
  <si>
    <t>Resultado final del seguimiento.</t>
  </si>
  <si>
    <t>Caso 1 – Cultivo estabilizado</t>
  </si>
  <si>
    <t>La primera lectura muestra 29 °C y 75 %. Como la temperatura supera el rango óptimo pero no es crítica, el invernadero queda en observación y se</t>
  </si>
  <si>
    <t>ordena ventilar.</t>
  </si>
  <si>
    <t>Lectura</t>
  </si>
  <si>
    <t>minTemp</t>
  </si>
  <si>
    <t>maxTemp</t>
  </si>
  <si>
    <t>minHum</t>
  </si>
  <si>
    <t>maxHum</t>
  </si>
  <si>
    <t>sumTemp</t>
  </si>
  <si>
    <t>sumHum</t>
  </si>
  <si>
    <t>Salida esperada</t>
  </si>
  <si>
    <t>Variable</t>
  </si>
  <si>
    <t>Mínima</t>
  </si>
  <si>
    <t>Máxima</t>
  </si>
  <si>
    <t>Promedio</t>
  </si>
  <si>
    <t>Secuencia de valores</t>
  </si>
  <si>
    <t>Temperatura</t>
  </si>
  <si>
    <t>Humedad</t>
  </si>
  <si>
    <t>Caso 2 – Alerta crítica</t>
  </si>
  <si>
    <t>La primera lectura muestra 22 °C y 55 % de humedad. La humedad está por debajo del rango óptimo, por lo que el invernadero queda en observación y se</t>
  </si>
  <si>
    <t>ordena nebulizar. En la cuarta lectura la humedad cae por debajo del valor crítico.</t>
  </si>
  <si>
    <t>Caso 3 – Revisión técnica</t>
  </si>
  <si>
    <t>La primera lectura muestra 16 °C y 85 % de humedad: ambas variables están fuera del rango óptimo, así que se aplican dos acciones. Tras 8 lecturas el</t>
  </si>
  <si>
    <t>cultivo no se estabiliza ni llega a un valor crítico.</t>
  </si>
  <si>
    <t>Caso 4 – Condiciones óptimas desde el inicio</t>
  </si>
  <si>
    <t>La primera lectura muestra 22 °C y 68 % de humedad. Ambas variables están en el rango óptimo, por lo que no se requiere observación.</t>
  </si>
  <si>
    <t>Caso 5 – Validación de datos</t>
  </si>
  <si>
    <t>El encargado digita por error una humedad de 105 %. Como está fuera del rango válido del sensor, el algoritmo muestra «Dato inválido» y vuelve a pedir</t>
  </si>
  <si>
    <t>la lectura, que esta vez se ingresa correctamente.</t>
  </si>
  <si>
    <t>Intento 1: temp = 24, hum = 105 → «Dato inválido. Ingrese nuevamente la lectura (no se cuenta).» Intento 2 (válido) → es la lectura 1 de la tabla.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</si>
</sst>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2E75B6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3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showGridLines="0" tabSelected="1" zoomScaleNormal="100" workbookViewId="0"/>
  </sheetViews>
  <sheetFormatPr baseColWidth="10" defaultColWidth="8.6328125" defaultRowHeight="14.5" x14ac:dyDescent="0.35"/>
  <cols>
    <col min="1" max="1" width="44" customWidth="1"/>
    <col min="2" max="2" width="64" customWidth="1"/>
    <col min="3" max="3" width="50" customWidth="1"/>
  </cols>
  <sheetData>
    <row r="1" spans="1:3" ht="18" x14ac:dyDescent="0.4">
      <c r="A1" s="1"/>
    </row>
    <row r="3" spans="1:3" x14ac:dyDescent="0.35">
      <c r="A3" s="2" t="s">
        <v>0</v>
      </c>
      <c r="B3" s="2" t="s">
        <v>1</v>
      </c>
      <c r="C3" s="2" t="s">
        <v>2</v>
      </c>
    </row>
    <row r="4" spans="1:3" ht="42" customHeight="1" x14ac:dyDescent="0.35">
      <c r="A4" s="3" t="s">
        <v>3</v>
      </c>
      <c r="B4" s="3" t="s">
        <v>4</v>
      </c>
      <c r="C4" s="3" t="s">
        <v>5</v>
      </c>
    </row>
    <row r="5" spans="1:3" ht="30" customHeight="1" x14ac:dyDescent="0.35">
      <c r="A5" s="4" t="s">
        <v>6</v>
      </c>
      <c r="B5" s="4" t="s">
        <v>7</v>
      </c>
      <c r="C5" s="4" t="s">
        <v>8</v>
      </c>
    </row>
    <row r="6" spans="1:3" ht="55.5" customHeight="1" x14ac:dyDescent="0.35">
      <c r="A6" s="3" t="s">
        <v>9</v>
      </c>
      <c r="B6" s="3" t="s">
        <v>10</v>
      </c>
      <c r="C6" s="3" t="s">
        <v>11</v>
      </c>
    </row>
    <row r="7" spans="1:3" ht="84" customHeight="1" x14ac:dyDescent="0.35">
      <c r="A7" s="4" t="s">
        <v>12</v>
      </c>
      <c r="B7" s="4" t="s">
        <v>13</v>
      </c>
      <c r="C7" s="4" t="s">
        <v>14</v>
      </c>
    </row>
    <row r="8" spans="1:3" ht="42" customHeight="1" x14ac:dyDescent="0.35">
      <c r="A8" s="3"/>
      <c r="B8" s="3" t="s">
        <v>15</v>
      </c>
      <c r="C8" s="3" t="s">
        <v>16</v>
      </c>
    </row>
    <row r="9" spans="1:3" ht="30" customHeight="1" x14ac:dyDescent="0.35">
      <c r="A9" s="4"/>
      <c r="B9" s="4" t="s">
        <v>17</v>
      </c>
      <c r="C9" s="4" t="s">
        <v>18</v>
      </c>
    </row>
    <row r="10" spans="1:3" ht="55.5" customHeight="1" x14ac:dyDescent="0.35">
      <c r="A10" s="3"/>
      <c r="B10" s="3" t="s">
        <v>19</v>
      </c>
      <c r="C10" s="3" t="s">
        <v>20</v>
      </c>
    </row>
    <row r="11" spans="1:3" ht="30" customHeight="1" x14ac:dyDescent="0.35">
      <c r="A11" s="4"/>
      <c r="B11" s="4" t="s">
        <v>21</v>
      </c>
      <c r="C11" s="4"/>
    </row>
    <row r="14" spans="1:3" x14ac:dyDescent="0.35">
      <c r="A14" s="5" t="s">
        <v>22</v>
      </c>
    </row>
    <row r="15" spans="1:3" x14ac:dyDescent="0.35">
      <c r="A15" s="2" t="s">
        <v>23</v>
      </c>
      <c r="B15" s="2" t="s">
        <v>24</v>
      </c>
      <c r="C15" s="2" t="s">
        <v>25</v>
      </c>
    </row>
    <row r="16" spans="1:3" x14ac:dyDescent="0.35">
      <c r="A16" s="6" t="s">
        <v>26</v>
      </c>
      <c r="B16" s="3" t="s">
        <v>27</v>
      </c>
      <c r="C16" s="3" t="s">
        <v>28</v>
      </c>
    </row>
    <row r="17" spans="1:3" x14ac:dyDescent="0.35">
      <c r="A17" s="7" t="s">
        <v>29</v>
      </c>
      <c r="B17" s="4" t="s">
        <v>30</v>
      </c>
      <c r="C17" s="4" t="s">
        <v>31</v>
      </c>
    </row>
    <row r="18" spans="1:3" x14ac:dyDescent="0.35">
      <c r="A18" s="6" t="s">
        <v>32</v>
      </c>
      <c r="B18" s="3" t="s">
        <v>30</v>
      </c>
      <c r="C18" s="3" t="s">
        <v>33</v>
      </c>
    </row>
    <row r="19" spans="1:3" x14ac:dyDescent="0.35">
      <c r="A19" s="7" t="s">
        <v>34</v>
      </c>
      <c r="B19" s="4" t="s">
        <v>35</v>
      </c>
      <c r="C19" s="4" t="s">
        <v>36</v>
      </c>
    </row>
    <row r="20" spans="1:3" x14ac:dyDescent="0.35">
      <c r="A20" s="6" t="s">
        <v>37</v>
      </c>
      <c r="B20" s="3" t="s">
        <v>35</v>
      </c>
      <c r="C20" s="3" t="s">
        <v>38</v>
      </c>
    </row>
    <row r="21" spans="1:3" x14ac:dyDescent="0.35">
      <c r="A21" s="7" t="s">
        <v>39</v>
      </c>
      <c r="B21" s="4" t="s">
        <v>40</v>
      </c>
      <c r="C21" s="4" t="s">
        <v>41</v>
      </c>
    </row>
    <row r="22" spans="1:3" x14ac:dyDescent="0.35">
      <c r="A22" s="6" t="s">
        <v>42</v>
      </c>
      <c r="B22" s="3" t="s">
        <v>40</v>
      </c>
      <c r="C22" s="3" t="s">
        <v>43</v>
      </c>
    </row>
    <row r="23" spans="1:3" x14ac:dyDescent="0.35">
      <c r="A23" s="7" t="s">
        <v>44</v>
      </c>
      <c r="B23" s="4" t="s">
        <v>40</v>
      </c>
      <c r="C23" s="4" t="s">
        <v>45</v>
      </c>
    </row>
    <row r="24" spans="1:3" x14ac:dyDescent="0.35">
      <c r="A24" s="6" t="s">
        <v>46</v>
      </c>
      <c r="B24" s="3" t="s">
        <v>47</v>
      </c>
      <c r="C24" s="3" t="s">
        <v>48</v>
      </c>
    </row>
    <row r="25" spans="1:3" x14ac:dyDescent="0.35">
      <c r="A25" s="7" t="s">
        <v>49</v>
      </c>
      <c r="B25" s="4" t="s">
        <v>50</v>
      </c>
      <c r="C25" s="4" t="s">
        <v>51</v>
      </c>
    </row>
    <row r="26" spans="1:3" x14ac:dyDescent="0.35">
      <c r="A26" s="6" t="s">
        <v>52</v>
      </c>
      <c r="B26" s="3" t="s">
        <v>50</v>
      </c>
      <c r="C26" s="3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9"/>
  <sheetViews>
    <sheetView showGridLines="0" topLeftCell="A94" zoomScaleNormal="100" workbookViewId="0">
      <selection activeCell="A2" sqref="A2"/>
    </sheetView>
  </sheetViews>
  <sheetFormatPr baseColWidth="10" defaultColWidth="8.6328125" defaultRowHeight="14.5" x14ac:dyDescent="0.35"/>
  <cols>
    <col min="1" max="1" width="13" customWidth="1"/>
    <col min="2" max="3" width="11" customWidth="1"/>
    <col min="4" max="4" width="22" customWidth="1"/>
    <col min="5" max="5" width="46" customWidth="1"/>
    <col min="6" max="11" width="10" customWidth="1"/>
  </cols>
  <sheetData>
    <row r="1" spans="1:11" ht="18" x14ac:dyDescent="0.4">
      <c r="A1" s="1"/>
    </row>
    <row r="2" spans="1:11" x14ac:dyDescent="0.35">
      <c r="A2" s="8"/>
    </row>
    <row r="4" spans="1:11" x14ac:dyDescent="0.35">
      <c r="A4" s="5" t="s">
        <v>54</v>
      </c>
    </row>
    <row r="5" spans="1:11" x14ac:dyDescent="0.35">
      <c r="A5" s="9" t="s">
        <v>55</v>
      </c>
    </row>
    <row r="6" spans="1:11" x14ac:dyDescent="0.35">
      <c r="A6" s="9" t="s">
        <v>56</v>
      </c>
    </row>
    <row r="7" spans="1:11" ht="24" customHeight="1" x14ac:dyDescent="0.35">
      <c r="A7" s="2" t="s">
        <v>57</v>
      </c>
      <c r="B7" s="2" t="s">
        <v>29</v>
      </c>
      <c r="C7" s="2" t="s">
        <v>32</v>
      </c>
      <c r="D7" s="2" t="s">
        <v>34</v>
      </c>
      <c r="E7" s="2" t="s">
        <v>37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1" x14ac:dyDescent="0.35">
      <c r="A8" s="10">
        <v>1</v>
      </c>
      <c r="B8" s="11">
        <v>29</v>
      </c>
      <c r="C8" s="11">
        <v>75</v>
      </c>
      <c r="D8" s="10" t="str">
        <f>IF(OR(B8&lt;12,B8&gt;32,C8&lt;40,C8&gt;90),"Crítico",IF(AND(B8&gt;=18,B8&lt;=26,C8&gt;=60,C8&lt;=80),"Óptimo","Observación"))</f>
        <v>Observación</v>
      </c>
      <c r="E8" s="12" t="str">
        <f>IF(D8="Crítico","Alerta crítica: activar protocolo de emergencia",IF(D8="Óptimo",IF(A8=1,"Cultivo en condiciones óptimas","Cultivo estabilizado"),IF(A8&gt;=8,"Revisión técnica de los equipos",IF(B8&gt;26,"Ventilar",IF(B8&lt;18,"Encender calefacción",""))&amp;IF(AND(IF(B8&gt;26,"Ventilar",IF(B8&lt;18,"Encender calefacción",""))&lt;&gt;"",IF(C8&gt;80,"Deshumidificar",IF(C8&lt;60,"Nebulizar",""))&lt;&gt;"")," y ","")&amp;IF(C8&gt;80,"Deshumidificar",IF(C8&lt;60,"Nebulizar","")))))</f>
        <v>Ventilar</v>
      </c>
      <c r="F8" s="13">
        <f>B8</f>
        <v>29</v>
      </c>
      <c r="G8" s="13">
        <f>B8</f>
        <v>29</v>
      </c>
      <c r="H8" s="13">
        <f>C8</f>
        <v>75</v>
      </c>
      <c r="I8" s="13">
        <f>C8</f>
        <v>75</v>
      </c>
      <c r="J8" s="13">
        <f>B8</f>
        <v>29</v>
      </c>
      <c r="K8" s="13">
        <f>C8</f>
        <v>75</v>
      </c>
    </row>
    <row r="9" spans="1:11" x14ac:dyDescent="0.35">
      <c r="A9" s="10">
        <v>2</v>
      </c>
      <c r="B9" s="11">
        <v>28</v>
      </c>
      <c r="C9" s="11">
        <v>72</v>
      </c>
      <c r="D9" s="10" t="str">
        <f>IF(OR(B9&lt;12,B9&gt;32,C9&lt;40,C9&gt;90),"Crítico",IF(AND(B9&gt;=18,B9&lt;=26,C9&gt;=60,C9&lt;=80),"Óptimo","Observación"))</f>
        <v>Observación</v>
      </c>
      <c r="E9" s="12" t="str">
        <f>IF(D9="Crítico","Alerta crítica: activar protocolo de emergencia",IF(D9="Óptimo",IF(A9=1,"Cultivo en condiciones óptimas","Cultivo estabilizado"),IF(A9&gt;=8,"Revisión técnica de los equipos",IF(B9&gt;26,"Ventilar",IF(B9&lt;18,"Encender calefacción",""))&amp;IF(AND(IF(B9&gt;26,"Ventilar",IF(B9&lt;18,"Encender calefacción",""))&lt;&gt;"",IF(C9&gt;80,"Deshumidificar",IF(C9&lt;60,"Nebulizar",""))&lt;&gt;"")," y ","")&amp;IF(C9&gt;80,"Deshumidificar",IF(C9&lt;60,"Nebulizar","")))))</f>
        <v>Ventilar</v>
      </c>
      <c r="F9" s="13">
        <f>MIN(F8,B9)</f>
        <v>28</v>
      </c>
      <c r="G9" s="13">
        <f>MAX(G8,B9)</f>
        <v>29</v>
      </c>
      <c r="H9" s="13">
        <f>MIN(H8,C9)</f>
        <v>72</v>
      </c>
      <c r="I9" s="13">
        <f>MAX(I8,C9)</f>
        <v>75</v>
      </c>
      <c r="J9" s="13">
        <f t="shared" ref="J9:K11" si="0">J8+B9</f>
        <v>57</v>
      </c>
      <c r="K9" s="13">
        <f t="shared" si="0"/>
        <v>147</v>
      </c>
    </row>
    <row r="10" spans="1:11" x14ac:dyDescent="0.35">
      <c r="A10" s="10">
        <v>3</v>
      </c>
      <c r="B10" s="11">
        <v>27</v>
      </c>
      <c r="C10" s="11">
        <v>70</v>
      </c>
      <c r="D10" s="10" t="str">
        <f>IF(OR(B10&lt;12,B10&gt;32,C10&lt;40,C10&gt;90),"Crítico",IF(AND(B10&gt;=18,B10&lt;=26,C10&gt;=60,C10&lt;=80),"Óptimo","Observación"))</f>
        <v>Observación</v>
      </c>
      <c r="E10" s="12" t="str">
        <f>IF(D10="Crítico","Alerta crítica: activar protocolo de emergencia",IF(D10="Óptimo",IF(A10=1,"Cultivo en condiciones óptimas","Cultivo estabilizado"),IF(A10&gt;=8,"Revisión técnica de los equipos",IF(B10&gt;26,"Ventilar",IF(B10&lt;18,"Encender calefacción",""))&amp;IF(AND(IF(B10&gt;26,"Ventilar",IF(B10&lt;18,"Encender calefacción",""))&lt;&gt;"",IF(C10&gt;80,"Deshumidificar",IF(C10&lt;60,"Nebulizar",""))&lt;&gt;"")," y ","")&amp;IF(C10&gt;80,"Deshumidificar",IF(C10&lt;60,"Nebulizar","")))))</f>
        <v>Ventilar</v>
      </c>
      <c r="F10" s="13">
        <f>MIN(F9,B10)</f>
        <v>27</v>
      </c>
      <c r="G10" s="13">
        <f>MAX(G9,B10)</f>
        <v>29</v>
      </c>
      <c r="H10" s="13">
        <f>MIN(H9,C10)</f>
        <v>70</v>
      </c>
      <c r="I10" s="13">
        <f>MAX(I9,C10)</f>
        <v>75</v>
      </c>
      <c r="J10" s="13">
        <f t="shared" si="0"/>
        <v>84</v>
      </c>
      <c r="K10" s="13">
        <f t="shared" si="0"/>
        <v>217</v>
      </c>
    </row>
    <row r="11" spans="1:11" x14ac:dyDescent="0.35">
      <c r="A11" s="10">
        <v>4</v>
      </c>
      <c r="B11" s="11">
        <v>25.5</v>
      </c>
      <c r="C11" s="11">
        <v>70</v>
      </c>
      <c r="D11" s="10" t="str">
        <f>IF(OR(B11&lt;12,B11&gt;32,C11&lt;40,C11&gt;90),"Crítico",IF(AND(B11&gt;=18,B11&lt;=26,C11&gt;=60,C11&lt;=80),"Óptimo","Observación"))</f>
        <v>Óptimo</v>
      </c>
      <c r="E11" s="12" t="str">
        <f>IF(D11="Crítico","Alerta crítica: activar protocolo de emergencia",IF(D11="Óptimo",IF(A11=1,"Cultivo en condiciones óptimas","Cultivo estabilizado"),IF(A11&gt;=8,"Revisión técnica de los equipos",IF(B11&gt;26,"Ventilar",IF(B11&lt;18,"Encender calefacción",""))&amp;IF(AND(IF(B11&gt;26,"Ventilar",IF(B11&lt;18,"Encender calefacción",""))&lt;&gt;"",IF(C11&gt;80,"Deshumidificar",IF(C11&lt;60,"Nebulizar",""))&lt;&gt;"")," y ","")&amp;IF(C11&gt;80,"Deshumidificar",IF(C11&lt;60,"Nebulizar","")))))</f>
        <v>Cultivo estabilizado</v>
      </c>
      <c r="F11" s="13">
        <f>MIN(F10,B11)</f>
        <v>25.5</v>
      </c>
      <c r="G11" s="13">
        <f>MAX(G10,B11)</f>
        <v>29</v>
      </c>
      <c r="H11" s="13">
        <f>MIN(H10,C11)</f>
        <v>70</v>
      </c>
      <c r="I11" s="13">
        <f>MAX(I10,C11)</f>
        <v>75</v>
      </c>
      <c r="J11" s="13">
        <f t="shared" si="0"/>
        <v>109.5</v>
      </c>
      <c r="K11" s="13">
        <f t="shared" si="0"/>
        <v>287</v>
      </c>
    </row>
    <row r="13" spans="1:11" x14ac:dyDescent="0.35">
      <c r="A13" s="5" t="s">
        <v>64</v>
      </c>
    </row>
    <row r="14" spans="1:11" x14ac:dyDescent="0.35">
      <c r="A14" s="14" t="str">
        <f>"Resultado: "&amp;IF(D11="Crítico","Alerta crítica",IF(D11="Óptimo",IF(A11=1,"Condiciones óptimas","Cultivo estabilizado"),"Revisión técnica"))&amp;". Lecturas tomadas: "&amp;A11&amp;"."</f>
        <v>Resultado: Cultivo estabilizado. Lecturas tomadas: 4.</v>
      </c>
    </row>
    <row r="15" spans="1:11" ht="24" customHeight="1" x14ac:dyDescent="0.3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</row>
    <row r="16" spans="1:11" x14ac:dyDescent="0.35">
      <c r="A16" s="15" t="s">
        <v>70</v>
      </c>
      <c r="B16" s="13">
        <f>F11</f>
        <v>25.5</v>
      </c>
      <c r="C16" s="13">
        <f>G11</f>
        <v>29</v>
      </c>
      <c r="D16" s="16">
        <f>J11/A11</f>
        <v>27.375</v>
      </c>
      <c r="E16" s="17" t="str">
        <f>_xlfn.TEXTJOIN("; ",TRUE(),B8:B11)</f>
        <v>29; 28; 27; 25,5</v>
      </c>
    </row>
    <row r="17" spans="1:11" x14ac:dyDescent="0.35">
      <c r="A17" s="15" t="s">
        <v>71</v>
      </c>
      <c r="B17" s="13">
        <f>H11</f>
        <v>70</v>
      </c>
      <c r="C17" s="13">
        <f>I11</f>
        <v>75</v>
      </c>
      <c r="D17" s="16">
        <f>K11/A11</f>
        <v>71.75</v>
      </c>
      <c r="E17" s="17" t="str">
        <f>_xlfn.TEXTJOIN("; ",TRUE(),C8:C11)</f>
        <v>75; 72; 70; 70</v>
      </c>
    </row>
    <row r="20" spans="1:11" x14ac:dyDescent="0.35">
      <c r="A20" s="5" t="s">
        <v>72</v>
      </c>
    </row>
    <row r="21" spans="1:11" x14ac:dyDescent="0.35">
      <c r="A21" s="9" t="s">
        <v>73</v>
      </c>
    </row>
    <row r="22" spans="1:11" x14ac:dyDescent="0.35">
      <c r="A22" s="9" t="s">
        <v>74</v>
      </c>
    </row>
    <row r="23" spans="1:11" ht="24" customHeight="1" x14ac:dyDescent="0.35">
      <c r="A23" s="2" t="s">
        <v>57</v>
      </c>
      <c r="B23" s="2" t="s">
        <v>29</v>
      </c>
      <c r="C23" s="2" t="s">
        <v>32</v>
      </c>
      <c r="D23" s="2" t="s">
        <v>34</v>
      </c>
      <c r="E23" s="2" t="s">
        <v>37</v>
      </c>
      <c r="F23" s="2" t="s">
        <v>58</v>
      </c>
      <c r="G23" s="2" t="s">
        <v>59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35">
      <c r="A24" s="10">
        <v>1</v>
      </c>
      <c r="B24" s="11">
        <v>22</v>
      </c>
      <c r="C24" s="11">
        <v>55</v>
      </c>
      <c r="D24" s="10" t="str">
        <f>IF(OR(B24&lt;12,B24&gt;32,C24&lt;40,C24&gt;90),"Crítico",IF(AND(B24&gt;=18,B24&lt;=26,C24&gt;=60,C24&lt;=80),"Óptimo","Observación"))</f>
        <v>Observación</v>
      </c>
      <c r="E24" s="12" t="str">
        <f>IF(D24="Crítico","Alerta crítica: activar protocolo de emergencia",IF(D24="Óptimo",IF(A24=1,"Cultivo en condiciones óptimas","Cultivo estabilizado"),IF(A24&gt;=8,"Revisión técnica de los equipos",IF(B24&gt;26,"Ventilar",IF(B24&lt;18,"Encender calefacción",""))&amp;IF(AND(IF(B24&gt;26,"Ventilar",IF(B24&lt;18,"Encender calefacción",""))&lt;&gt;"",IF(C24&gt;80,"Deshumidificar",IF(C24&lt;60,"Nebulizar",""))&lt;&gt;"")," y ","")&amp;IF(C24&gt;80,"Deshumidificar",IF(C24&lt;60,"Nebulizar","")))))</f>
        <v>Nebulizar</v>
      </c>
      <c r="F24" s="13">
        <f>B24</f>
        <v>22</v>
      </c>
      <c r="G24" s="13">
        <f>B24</f>
        <v>22</v>
      </c>
      <c r="H24" s="13">
        <f>C24</f>
        <v>55</v>
      </c>
      <c r="I24" s="13">
        <f>C24</f>
        <v>55</v>
      </c>
      <c r="J24" s="13">
        <f>B24</f>
        <v>22</v>
      </c>
      <c r="K24" s="13">
        <f>C24</f>
        <v>55</v>
      </c>
    </row>
    <row r="25" spans="1:11" x14ac:dyDescent="0.35">
      <c r="A25" s="10">
        <v>2</v>
      </c>
      <c r="B25" s="11">
        <v>21</v>
      </c>
      <c r="C25" s="11">
        <v>50</v>
      </c>
      <c r="D25" s="10" t="str">
        <f>IF(OR(B25&lt;12,B25&gt;32,C25&lt;40,C25&gt;90),"Crítico",IF(AND(B25&gt;=18,B25&lt;=26,C25&gt;=60,C25&lt;=80),"Óptimo","Observación"))</f>
        <v>Observación</v>
      </c>
      <c r="E25" s="12" t="str">
        <f>IF(D25="Crítico","Alerta crítica: activar protocolo de emergencia",IF(D25="Óptimo",IF(A25=1,"Cultivo en condiciones óptimas","Cultivo estabilizado"),IF(A25&gt;=8,"Revisión técnica de los equipos",IF(B25&gt;26,"Ventilar",IF(B25&lt;18,"Encender calefacción",""))&amp;IF(AND(IF(B25&gt;26,"Ventilar",IF(B25&lt;18,"Encender calefacción",""))&lt;&gt;"",IF(C25&gt;80,"Deshumidificar",IF(C25&lt;60,"Nebulizar",""))&lt;&gt;"")," y ","")&amp;IF(C25&gt;80,"Deshumidificar",IF(C25&lt;60,"Nebulizar","")))))</f>
        <v>Nebulizar</v>
      </c>
      <c r="F25" s="13">
        <f>MIN(F24,B25)</f>
        <v>21</v>
      </c>
      <c r="G25" s="13">
        <f>MAX(G24,B25)</f>
        <v>22</v>
      </c>
      <c r="H25" s="13">
        <f>MIN(H24,C25)</f>
        <v>50</v>
      </c>
      <c r="I25" s="13">
        <f>MAX(I24,C25)</f>
        <v>55</v>
      </c>
      <c r="J25" s="13">
        <f t="shared" ref="J25:K27" si="1">J24+B25</f>
        <v>43</v>
      </c>
      <c r="K25" s="13">
        <f t="shared" si="1"/>
        <v>105</v>
      </c>
    </row>
    <row r="26" spans="1:11" x14ac:dyDescent="0.35">
      <c r="A26" s="10">
        <v>3</v>
      </c>
      <c r="B26" s="11">
        <v>23</v>
      </c>
      <c r="C26" s="11">
        <v>46</v>
      </c>
      <c r="D26" s="10" t="str">
        <f>IF(OR(B26&lt;12,B26&gt;32,C26&lt;40,C26&gt;90),"Crítico",IF(AND(B26&gt;=18,B26&lt;=26,C26&gt;=60,C26&lt;=80),"Óptimo","Observación"))</f>
        <v>Observación</v>
      </c>
      <c r="E26" s="12" t="str">
        <f>IF(D26="Crítico","Alerta crítica: activar protocolo de emergencia",IF(D26="Óptimo",IF(A26=1,"Cultivo en condiciones óptimas","Cultivo estabilizado"),IF(A26&gt;=8,"Revisión técnica de los equipos",IF(B26&gt;26,"Ventilar",IF(B26&lt;18,"Encender calefacción",""))&amp;IF(AND(IF(B26&gt;26,"Ventilar",IF(B26&lt;18,"Encender calefacción",""))&lt;&gt;"",IF(C26&gt;80,"Deshumidificar",IF(C26&lt;60,"Nebulizar",""))&lt;&gt;"")," y ","")&amp;IF(C26&gt;80,"Deshumidificar",IF(C26&lt;60,"Nebulizar","")))))</f>
        <v>Nebulizar</v>
      </c>
      <c r="F26" s="13">
        <f>MIN(F25,B26)</f>
        <v>21</v>
      </c>
      <c r="G26" s="13">
        <f>MAX(G25,B26)</f>
        <v>23</v>
      </c>
      <c r="H26" s="13">
        <f>MIN(H25,C26)</f>
        <v>46</v>
      </c>
      <c r="I26" s="13">
        <f>MAX(I25,C26)</f>
        <v>55</v>
      </c>
      <c r="J26" s="13">
        <f t="shared" si="1"/>
        <v>66</v>
      </c>
      <c r="K26" s="13">
        <f t="shared" si="1"/>
        <v>151</v>
      </c>
    </row>
    <row r="27" spans="1:11" x14ac:dyDescent="0.35">
      <c r="A27" s="10">
        <v>4</v>
      </c>
      <c r="B27" s="11">
        <v>24</v>
      </c>
      <c r="C27" s="11">
        <v>38</v>
      </c>
      <c r="D27" s="10" t="str">
        <f>IF(OR(B27&lt;12,B27&gt;32,C27&lt;40,C27&gt;90),"Crítico",IF(AND(B27&gt;=18,B27&lt;=26,C27&gt;=60,C27&lt;=80),"Óptimo","Observación"))</f>
        <v>Crítico</v>
      </c>
      <c r="E27" s="12" t="str">
        <f>IF(D27="Crítico","Alerta crítica: activar protocolo de emergencia",IF(D27="Óptimo",IF(A27=1,"Cultivo en condiciones óptimas","Cultivo estabilizado"),IF(A27&gt;=8,"Revisión técnica de los equipos",IF(B27&gt;26,"Ventilar",IF(B27&lt;18,"Encender calefacción",""))&amp;IF(AND(IF(B27&gt;26,"Ventilar",IF(B27&lt;18,"Encender calefacción",""))&lt;&gt;"",IF(C27&gt;80,"Deshumidificar",IF(C27&lt;60,"Nebulizar",""))&lt;&gt;"")," y ","")&amp;IF(C27&gt;80,"Deshumidificar",IF(C27&lt;60,"Nebulizar","")))))</f>
        <v>Alerta crítica: activar protocolo de emergencia</v>
      </c>
      <c r="F27" s="13">
        <f>MIN(F26,B27)</f>
        <v>21</v>
      </c>
      <c r="G27" s="13">
        <f>MAX(G26,B27)</f>
        <v>24</v>
      </c>
      <c r="H27" s="13">
        <f>MIN(H26,C27)</f>
        <v>38</v>
      </c>
      <c r="I27" s="13">
        <f>MAX(I26,C27)</f>
        <v>55</v>
      </c>
      <c r="J27" s="13">
        <f t="shared" si="1"/>
        <v>90</v>
      </c>
      <c r="K27" s="13">
        <f t="shared" si="1"/>
        <v>189</v>
      </c>
    </row>
    <row r="29" spans="1:11" x14ac:dyDescent="0.35">
      <c r="A29" s="5" t="s">
        <v>64</v>
      </c>
    </row>
    <row r="30" spans="1:11" x14ac:dyDescent="0.35">
      <c r="A30" s="14" t="str">
        <f>"Resultado: "&amp;IF(D27="Crítico","Alerta crítica",IF(D27="Óptimo",IF(A27=1,"Condiciones óptimas","Cultivo estabilizado"),"Revisión técnica"))&amp;". Lecturas tomadas: "&amp;A27&amp;"."</f>
        <v>Resultado: Alerta crítica. Lecturas tomadas: 4.</v>
      </c>
    </row>
    <row r="31" spans="1:11" ht="24" customHeight="1" x14ac:dyDescent="0.35">
      <c r="A31" s="2" t="s">
        <v>65</v>
      </c>
      <c r="B31" s="2" t="s">
        <v>66</v>
      </c>
      <c r="C31" s="2" t="s">
        <v>67</v>
      </c>
      <c r="D31" s="2" t="s">
        <v>68</v>
      </c>
      <c r="E31" s="2" t="s">
        <v>69</v>
      </c>
    </row>
    <row r="32" spans="1:11" x14ac:dyDescent="0.35">
      <c r="A32" s="15" t="s">
        <v>70</v>
      </c>
      <c r="B32" s="13">
        <f>F27</f>
        <v>21</v>
      </c>
      <c r="C32" s="13">
        <f>G27</f>
        <v>24</v>
      </c>
      <c r="D32" s="16">
        <f>J27/A27</f>
        <v>22.5</v>
      </c>
      <c r="E32" s="17" t="str">
        <f>_xlfn.TEXTJOIN("; ",TRUE(),B24:B27)</f>
        <v>22; 21; 23; 24</v>
      </c>
    </row>
    <row r="33" spans="1:11" x14ac:dyDescent="0.35">
      <c r="A33" s="15" t="s">
        <v>71</v>
      </c>
      <c r="B33" s="13">
        <f>H27</f>
        <v>38</v>
      </c>
      <c r="C33" s="13">
        <f>I27</f>
        <v>55</v>
      </c>
      <c r="D33" s="16">
        <f>K27/A27</f>
        <v>47.25</v>
      </c>
      <c r="E33" s="17" t="str">
        <f>_xlfn.TEXTJOIN("; ",TRUE(),C24:C27)</f>
        <v>55; 50; 46; 38</v>
      </c>
    </row>
    <row r="36" spans="1:11" x14ac:dyDescent="0.35">
      <c r="A36" s="5" t="s">
        <v>75</v>
      </c>
    </row>
    <row r="37" spans="1:11" x14ac:dyDescent="0.35">
      <c r="A37" s="9" t="s">
        <v>76</v>
      </c>
    </row>
    <row r="38" spans="1:11" x14ac:dyDescent="0.35">
      <c r="A38" s="9" t="s">
        <v>77</v>
      </c>
    </row>
    <row r="39" spans="1:11" ht="24" customHeight="1" x14ac:dyDescent="0.35">
      <c r="A39" s="2" t="s">
        <v>57</v>
      </c>
      <c r="B39" s="2" t="s">
        <v>29</v>
      </c>
      <c r="C39" s="2" t="s">
        <v>32</v>
      </c>
      <c r="D39" s="2" t="s">
        <v>34</v>
      </c>
      <c r="E39" s="2" t="s">
        <v>37</v>
      </c>
      <c r="F39" s="2" t="s">
        <v>58</v>
      </c>
      <c r="G39" s="2" t="s">
        <v>59</v>
      </c>
      <c r="H39" s="2" t="s">
        <v>60</v>
      </c>
      <c r="I39" s="2" t="s">
        <v>61</v>
      </c>
      <c r="J39" s="2" t="s">
        <v>62</v>
      </c>
      <c r="K39" s="2" t="s">
        <v>63</v>
      </c>
    </row>
    <row r="40" spans="1:11" x14ac:dyDescent="0.35">
      <c r="A40" s="10">
        <v>1</v>
      </c>
      <c r="B40" s="11">
        <v>16</v>
      </c>
      <c r="C40" s="11">
        <v>85</v>
      </c>
      <c r="D40" s="10" t="str">
        <f t="shared" ref="D40:D47" si="2">IF(OR(B40&lt;12,B40&gt;32,C40&lt;40,C40&gt;90),"Crítico",IF(AND(B40&gt;=18,B40&lt;=26,C40&gt;=60,C40&lt;=80),"Óptimo","Observación"))</f>
        <v>Observación</v>
      </c>
      <c r="E40" s="12" t="str">
        <f t="shared" ref="E40:E47" si="3">IF(D40="Crítico","Alerta crítica: activar protocolo de emergencia",IF(D40="Óptimo",IF(A40=1,"Cultivo en condiciones óptimas","Cultivo estabilizado"),IF(A40&gt;=8,"Revisión técnica de los equipos",IF(B40&gt;26,"Ventilar",IF(B40&lt;18,"Encender calefacción",""))&amp;IF(AND(IF(B40&gt;26,"Ventilar",IF(B40&lt;18,"Encender calefacción",""))&lt;&gt;"",IF(C40&gt;80,"Deshumidificar",IF(C40&lt;60,"Nebulizar",""))&lt;&gt;"")," y ","")&amp;IF(C40&gt;80,"Deshumidificar",IF(C40&lt;60,"Nebulizar","")))))</f>
        <v>Encender calefacción y Deshumidificar</v>
      </c>
      <c r="F40" s="13">
        <f>B40</f>
        <v>16</v>
      </c>
      <c r="G40" s="13">
        <f>B40</f>
        <v>16</v>
      </c>
      <c r="H40" s="13">
        <f>C40</f>
        <v>85</v>
      </c>
      <c r="I40" s="13">
        <f>C40</f>
        <v>85</v>
      </c>
      <c r="J40" s="13">
        <f>B40</f>
        <v>16</v>
      </c>
      <c r="K40" s="13">
        <f>C40</f>
        <v>85</v>
      </c>
    </row>
    <row r="41" spans="1:11" x14ac:dyDescent="0.35">
      <c r="A41" s="10">
        <v>2</v>
      </c>
      <c r="B41" s="11">
        <v>16.5</v>
      </c>
      <c r="C41" s="11">
        <v>84</v>
      </c>
      <c r="D41" s="10" t="str">
        <f t="shared" si="2"/>
        <v>Observación</v>
      </c>
      <c r="E41" s="12" t="str">
        <f t="shared" si="3"/>
        <v>Encender calefacción y Deshumidificar</v>
      </c>
      <c r="F41" s="13">
        <f t="shared" ref="F41:F47" si="4">MIN(F40,B41)</f>
        <v>16</v>
      </c>
      <c r="G41" s="13">
        <f t="shared" ref="G41:G47" si="5">MAX(G40,B41)</f>
        <v>16.5</v>
      </c>
      <c r="H41" s="13">
        <f t="shared" ref="H41:H47" si="6">MIN(H40,C41)</f>
        <v>84</v>
      </c>
      <c r="I41" s="13">
        <f t="shared" ref="I41:I47" si="7">MAX(I40,C41)</f>
        <v>85</v>
      </c>
      <c r="J41" s="13">
        <f t="shared" ref="J41:K47" si="8">J40+B41</f>
        <v>32.5</v>
      </c>
      <c r="K41" s="13">
        <f t="shared" si="8"/>
        <v>169</v>
      </c>
    </row>
    <row r="42" spans="1:11" x14ac:dyDescent="0.35">
      <c r="A42" s="10">
        <v>3</v>
      </c>
      <c r="B42" s="11">
        <v>17</v>
      </c>
      <c r="C42" s="11">
        <v>83</v>
      </c>
      <c r="D42" s="10" t="str">
        <f t="shared" si="2"/>
        <v>Observación</v>
      </c>
      <c r="E42" s="12" t="str">
        <f t="shared" si="3"/>
        <v>Encender calefacción y Deshumidificar</v>
      </c>
      <c r="F42" s="13">
        <f t="shared" si="4"/>
        <v>16</v>
      </c>
      <c r="G42" s="13">
        <f t="shared" si="5"/>
        <v>17</v>
      </c>
      <c r="H42" s="13">
        <f t="shared" si="6"/>
        <v>83</v>
      </c>
      <c r="I42" s="13">
        <f t="shared" si="7"/>
        <v>85</v>
      </c>
      <c r="J42" s="13">
        <f t="shared" si="8"/>
        <v>49.5</v>
      </c>
      <c r="K42" s="13">
        <f t="shared" si="8"/>
        <v>252</v>
      </c>
    </row>
    <row r="43" spans="1:11" x14ac:dyDescent="0.35">
      <c r="A43" s="10">
        <v>4</v>
      </c>
      <c r="B43" s="11">
        <v>17</v>
      </c>
      <c r="C43" s="11">
        <v>82</v>
      </c>
      <c r="D43" s="10" t="str">
        <f t="shared" si="2"/>
        <v>Observación</v>
      </c>
      <c r="E43" s="12" t="str">
        <f t="shared" si="3"/>
        <v>Encender calefacción y Deshumidificar</v>
      </c>
      <c r="F43" s="13">
        <f t="shared" si="4"/>
        <v>16</v>
      </c>
      <c r="G43" s="13">
        <f t="shared" si="5"/>
        <v>17</v>
      </c>
      <c r="H43" s="13">
        <f t="shared" si="6"/>
        <v>82</v>
      </c>
      <c r="I43" s="13">
        <f t="shared" si="7"/>
        <v>85</v>
      </c>
      <c r="J43" s="13">
        <f t="shared" si="8"/>
        <v>66.5</v>
      </c>
      <c r="K43" s="13">
        <f t="shared" si="8"/>
        <v>334</v>
      </c>
    </row>
    <row r="44" spans="1:11" x14ac:dyDescent="0.35">
      <c r="A44" s="10">
        <v>5</v>
      </c>
      <c r="B44" s="11">
        <v>17.5</v>
      </c>
      <c r="C44" s="11">
        <v>82</v>
      </c>
      <c r="D44" s="10" t="str">
        <f t="shared" si="2"/>
        <v>Observación</v>
      </c>
      <c r="E44" s="12" t="str">
        <f t="shared" si="3"/>
        <v>Encender calefacción y Deshumidificar</v>
      </c>
      <c r="F44" s="13">
        <f t="shared" si="4"/>
        <v>16</v>
      </c>
      <c r="G44" s="13">
        <f t="shared" si="5"/>
        <v>17.5</v>
      </c>
      <c r="H44" s="13">
        <f t="shared" si="6"/>
        <v>82</v>
      </c>
      <c r="I44" s="13">
        <f t="shared" si="7"/>
        <v>85</v>
      </c>
      <c r="J44" s="13">
        <f t="shared" si="8"/>
        <v>84</v>
      </c>
      <c r="K44" s="13">
        <f t="shared" si="8"/>
        <v>416</v>
      </c>
    </row>
    <row r="45" spans="1:11" x14ac:dyDescent="0.35">
      <c r="A45" s="10">
        <v>6</v>
      </c>
      <c r="B45" s="11">
        <v>17</v>
      </c>
      <c r="C45" s="11">
        <v>81</v>
      </c>
      <c r="D45" s="10" t="str">
        <f t="shared" si="2"/>
        <v>Observación</v>
      </c>
      <c r="E45" s="12" t="str">
        <f t="shared" si="3"/>
        <v>Encender calefacción y Deshumidificar</v>
      </c>
      <c r="F45" s="13">
        <f t="shared" si="4"/>
        <v>16</v>
      </c>
      <c r="G45" s="13">
        <f t="shared" si="5"/>
        <v>17.5</v>
      </c>
      <c r="H45" s="13">
        <f t="shared" si="6"/>
        <v>81</v>
      </c>
      <c r="I45" s="13">
        <f t="shared" si="7"/>
        <v>85</v>
      </c>
      <c r="J45" s="13">
        <f t="shared" si="8"/>
        <v>101</v>
      </c>
      <c r="K45" s="13">
        <f t="shared" si="8"/>
        <v>497</v>
      </c>
    </row>
    <row r="46" spans="1:11" x14ac:dyDescent="0.35">
      <c r="A46" s="10">
        <v>7</v>
      </c>
      <c r="B46" s="11">
        <v>17.5</v>
      </c>
      <c r="C46" s="11">
        <v>82</v>
      </c>
      <c r="D46" s="10" t="str">
        <f t="shared" si="2"/>
        <v>Observación</v>
      </c>
      <c r="E46" s="12" t="str">
        <f t="shared" si="3"/>
        <v>Encender calefacción y Deshumidificar</v>
      </c>
      <c r="F46" s="13">
        <f t="shared" si="4"/>
        <v>16</v>
      </c>
      <c r="G46" s="13">
        <f t="shared" si="5"/>
        <v>17.5</v>
      </c>
      <c r="H46" s="13">
        <f t="shared" si="6"/>
        <v>81</v>
      </c>
      <c r="I46" s="13">
        <f t="shared" si="7"/>
        <v>85</v>
      </c>
      <c r="J46" s="13">
        <f t="shared" si="8"/>
        <v>118.5</v>
      </c>
      <c r="K46" s="13">
        <f t="shared" si="8"/>
        <v>579</v>
      </c>
    </row>
    <row r="47" spans="1:11" x14ac:dyDescent="0.35">
      <c r="A47" s="10">
        <v>8</v>
      </c>
      <c r="B47" s="11">
        <v>17.5</v>
      </c>
      <c r="C47" s="11">
        <v>81</v>
      </c>
      <c r="D47" s="10" t="str">
        <f t="shared" si="2"/>
        <v>Observación</v>
      </c>
      <c r="E47" s="12" t="str">
        <f t="shared" si="3"/>
        <v>Revisión técnica de los equipos</v>
      </c>
      <c r="F47" s="13">
        <f t="shared" si="4"/>
        <v>16</v>
      </c>
      <c r="G47" s="13">
        <f t="shared" si="5"/>
        <v>17.5</v>
      </c>
      <c r="H47" s="13">
        <f t="shared" si="6"/>
        <v>81</v>
      </c>
      <c r="I47" s="13">
        <f t="shared" si="7"/>
        <v>85</v>
      </c>
      <c r="J47" s="13">
        <f t="shared" si="8"/>
        <v>136</v>
      </c>
      <c r="K47" s="13">
        <f t="shared" si="8"/>
        <v>660</v>
      </c>
    </row>
    <row r="49" spans="1:11" x14ac:dyDescent="0.35">
      <c r="A49" s="5" t="s">
        <v>64</v>
      </c>
    </row>
    <row r="50" spans="1:11" x14ac:dyDescent="0.35">
      <c r="A50" s="14" t="str">
        <f>"Resultado: "&amp;IF(D47="Crítico","Alerta crítica",IF(D47="Óptimo",IF(A47=1,"Condiciones óptimas","Cultivo estabilizado"),"Revisión técnica"))&amp;". Lecturas tomadas: "&amp;A47&amp;"."</f>
        <v>Resultado: Revisión técnica. Lecturas tomadas: 8.</v>
      </c>
    </row>
    <row r="51" spans="1:11" ht="24" customHeight="1" x14ac:dyDescent="0.35">
      <c r="A51" s="2" t="s">
        <v>65</v>
      </c>
      <c r="B51" s="2" t="s">
        <v>66</v>
      </c>
      <c r="C51" s="2" t="s">
        <v>67</v>
      </c>
      <c r="D51" s="2" t="s">
        <v>68</v>
      </c>
      <c r="E51" s="2" t="s">
        <v>69</v>
      </c>
    </row>
    <row r="52" spans="1:11" x14ac:dyDescent="0.35">
      <c r="A52" s="15" t="s">
        <v>70</v>
      </c>
      <c r="B52" s="13">
        <f>F47</f>
        <v>16</v>
      </c>
      <c r="C52" s="13">
        <f>G47</f>
        <v>17.5</v>
      </c>
      <c r="D52" s="16">
        <f>J47/A47</f>
        <v>17</v>
      </c>
      <c r="E52" s="17" t="str">
        <f>_xlfn.TEXTJOIN("; ",TRUE(),B40:B47)</f>
        <v>16; 16,5; 17; 17; 17,5; 17; 17,5; 17,5</v>
      </c>
    </row>
    <row r="53" spans="1:11" x14ac:dyDescent="0.35">
      <c r="A53" s="15" t="s">
        <v>71</v>
      </c>
      <c r="B53" s="13">
        <f>H47</f>
        <v>81</v>
      </c>
      <c r="C53" s="13">
        <f>I47</f>
        <v>85</v>
      </c>
      <c r="D53" s="16">
        <f>K47/A47</f>
        <v>82.5</v>
      </c>
      <c r="E53" s="17" t="str">
        <f>_xlfn.TEXTJOIN("; ",TRUE(),C40:C47)</f>
        <v>85; 84; 83; 82; 82; 81; 82; 81</v>
      </c>
    </row>
    <row r="56" spans="1:11" x14ac:dyDescent="0.35">
      <c r="A56" s="5" t="s">
        <v>78</v>
      </c>
    </row>
    <row r="57" spans="1:11" x14ac:dyDescent="0.35">
      <c r="A57" s="9" t="s">
        <v>79</v>
      </c>
    </row>
    <row r="58" spans="1:11" ht="24" customHeight="1" x14ac:dyDescent="0.35">
      <c r="A58" s="2" t="s">
        <v>57</v>
      </c>
      <c r="B58" s="2" t="s">
        <v>29</v>
      </c>
      <c r="C58" s="2" t="s">
        <v>32</v>
      </c>
      <c r="D58" s="2" t="s">
        <v>34</v>
      </c>
      <c r="E58" s="2" t="s">
        <v>37</v>
      </c>
      <c r="F58" s="2" t="s">
        <v>58</v>
      </c>
      <c r="G58" s="2" t="s">
        <v>59</v>
      </c>
      <c r="H58" s="2" t="s">
        <v>60</v>
      </c>
      <c r="I58" s="2" t="s">
        <v>61</v>
      </c>
      <c r="J58" s="2" t="s">
        <v>62</v>
      </c>
      <c r="K58" s="2" t="s">
        <v>63</v>
      </c>
    </row>
    <row r="59" spans="1:11" x14ac:dyDescent="0.35">
      <c r="A59" s="10">
        <v>1</v>
      </c>
      <c r="B59" s="11">
        <v>22</v>
      </c>
      <c r="C59" s="11">
        <v>68</v>
      </c>
      <c r="D59" s="10" t="str">
        <f>IF(OR(B59&lt;12,B59&gt;32,C59&lt;40,C59&gt;90),"Crítico",IF(AND(B59&gt;=18,B59&lt;=26,C59&gt;=60,C59&lt;=80),"Óptimo","Observación"))</f>
        <v>Óptimo</v>
      </c>
      <c r="E59" s="12" t="str">
        <f>IF(D59="Crítico","Alerta crítica: activar protocolo de emergencia",IF(D59="Óptimo",IF(A59=1,"Cultivo en condiciones óptimas","Cultivo estabilizado"),IF(A59&gt;=8,"Revisión técnica de los equipos",IF(B59&gt;26,"Ventilar",IF(B59&lt;18,"Encender calefacción",""))&amp;IF(AND(IF(B59&gt;26,"Ventilar",IF(B59&lt;18,"Encender calefacción",""))&lt;&gt;"",IF(C59&gt;80,"Deshumidificar",IF(C59&lt;60,"Nebulizar",""))&lt;&gt;"")," y ","")&amp;IF(C59&gt;80,"Deshumidificar",IF(C59&lt;60,"Nebulizar","")))))</f>
        <v>Cultivo en condiciones óptimas</v>
      </c>
      <c r="F59" s="13">
        <f>B59</f>
        <v>22</v>
      </c>
      <c r="G59" s="13">
        <f>B59</f>
        <v>22</v>
      </c>
      <c r="H59" s="13">
        <f>C59</f>
        <v>68</v>
      </c>
      <c r="I59" s="13">
        <f>C59</f>
        <v>68</v>
      </c>
      <c r="J59" s="13">
        <f>B59</f>
        <v>22</v>
      </c>
      <c r="K59" s="13">
        <f>C59</f>
        <v>68</v>
      </c>
    </row>
    <row r="61" spans="1:11" x14ac:dyDescent="0.35">
      <c r="A61" s="5" t="s">
        <v>64</v>
      </c>
    </row>
    <row r="62" spans="1:11" x14ac:dyDescent="0.35">
      <c r="A62" s="14" t="str">
        <f>"Resultado: "&amp;IF(D59="Crítico","Alerta crítica",IF(D59="Óptimo",IF(A59=1,"Condiciones óptimas","Cultivo estabilizado"),"Revisión técnica"))&amp;". Lecturas tomadas: "&amp;A59&amp;"."</f>
        <v>Resultado: Condiciones óptimas. Lecturas tomadas: 1.</v>
      </c>
    </row>
    <row r="63" spans="1:11" ht="24" customHeight="1" x14ac:dyDescent="0.35">
      <c r="A63" s="2" t="s">
        <v>65</v>
      </c>
      <c r="B63" s="2" t="s">
        <v>66</v>
      </c>
      <c r="C63" s="2" t="s">
        <v>67</v>
      </c>
      <c r="D63" s="2" t="s">
        <v>68</v>
      </c>
      <c r="E63" s="2" t="s">
        <v>69</v>
      </c>
    </row>
    <row r="64" spans="1:11" x14ac:dyDescent="0.35">
      <c r="A64" s="15" t="s">
        <v>70</v>
      </c>
      <c r="B64" s="13">
        <f>F59</f>
        <v>22</v>
      </c>
      <c r="C64" s="13">
        <f>G59</f>
        <v>22</v>
      </c>
      <c r="D64" s="16">
        <f>J59/A59</f>
        <v>22</v>
      </c>
      <c r="E64" s="17" t="str">
        <f>_xlfn.TEXTJOIN("; ",TRUE(),B59:B59)</f>
        <v>22</v>
      </c>
    </row>
    <row r="65" spans="1:11" x14ac:dyDescent="0.35">
      <c r="A65" s="15" t="s">
        <v>71</v>
      </c>
      <c r="B65" s="13">
        <f>H59</f>
        <v>68</v>
      </c>
      <c r="C65" s="13">
        <f>I59</f>
        <v>68</v>
      </c>
      <c r="D65" s="16">
        <f>K59/A59</f>
        <v>68</v>
      </c>
      <c r="E65" s="17" t="str">
        <f>_xlfn.TEXTJOIN("; ",TRUE(),C59:C59)</f>
        <v>68</v>
      </c>
    </row>
    <row r="68" spans="1:11" x14ac:dyDescent="0.35">
      <c r="A68" s="5" t="s">
        <v>80</v>
      </c>
    </row>
    <row r="69" spans="1:11" x14ac:dyDescent="0.35">
      <c r="A69" s="9" t="s">
        <v>81</v>
      </c>
    </row>
    <row r="70" spans="1:11" x14ac:dyDescent="0.35">
      <c r="A70" s="9" t="s">
        <v>82</v>
      </c>
    </row>
    <row r="71" spans="1:11" x14ac:dyDescent="0.35">
      <c r="A71" s="18" t="s">
        <v>83</v>
      </c>
    </row>
    <row r="72" spans="1:11" ht="24" customHeight="1" x14ac:dyDescent="0.35">
      <c r="A72" s="2" t="s">
        <v>57</v>
      </c>
      <c r="B72" s="2" t="s">
        <v>29</v>
      </c>
      <c r="C72" s="2" t="s">
        <v>32</v>
      </c>
      <c r="D72" s="2" t="s">
        <v>34</v>
      </c>
      <c r="E72" s="2" t="s">
        <v>37</v>
      </c>
      <c r="F72" s="2" t="s">
        <v>58</v>
      </c>
      <c r="G72" s="2" t="s">
        <v>59</v>
      </c>
      <c r="H72" s="2" t="s">
        <v>60</v>
      </c>
      <c r="I72" s="2" t="s">
        <v>61</v>
      </c>
      <c r="J72" s="2" t="s">
        <v>62</v>
      </c>
      <c r="K72" s="2" t="s">
        <v>63</v>
      </c>
    </row>
    <row r="73" spans="1:11" x14ac:dyDescent="0.35">
      <c r="A73" s="10">
        <v>1</v>
      </c>
      <c r="B73" s="11">
        <v>24</v>
      </c>
      <c r="C73" s="11">
        <v>65</v>
      </c>
      <c r="D73" s="10" t="str">
        <f>IF(OR(B73&lt;12,B73&gt;32,C73&lt;40,C73&gt;90),"Crítico",IF(AND(B73&gt;=18,B73&lt;=26,C73&gt;=60,C73&lt;=80),"Óptimo","Observación"))</f>
        <v>Óptimo</v>
      </c>
      <c r="E73" s="12" t="str">
        <f>IF(D73="Crítico","Alerta crítica: activar protocolo de emergencia",IF(D73="Óptimo",IF(A73=1,"Cultivo en condiciones óptimas","Cultivo estabilizado"),IF(A73&gt;=8,"Revisión técnica de los equipos",IF(B73&gt;26,"Ventilar",IF(B73&lt;18,"Encender calefacción",""))&amp;IF(AND(IF(B73&gt;26,"Ventilar",IF(B73&lt;18,"Encender calefacción",""))&lt;&gt;"",IF(C73&gt;80,"Deshumidificar",IF(C73&lt;60,"Nebulizar",""))&lt;&gt;"")," y ","")&amp;IF(C73&gt;80,"Deshumidificar",IF(C73&lt;60,"Nebulizar","")))))</f>
        <v>Cultivo en condiciones óptimas</v>
      </c>
      <c r="F73" s="13">
        <f>B73</f>
        <v>24</v>
      </c>
      <c r="G73" s="13">
        <f>B73</f>
        <v>24</v>
      </c>
      <c r="H73" s="13">
        <f>C73</f>
        <v>65</v>
      </c>
      <c r="I73" s="13">
        <f>C73</f>
        <v>65</v>
      </c>
      <c r="J73" s="13">
        <f>B73</f>
        <v>24</v>
      </c>
      <c r="K73" s="13">
        <f>C73</f>
        <v>65</v>
      </c>
    </row>
    <row r="75" spans="1:11" x14ac:dyDescent="0.35">
      <c r="A75" s="5" t="s">
        <v>64</v>
      </c>
    </row>
    <row r="76" spans="1:11" x14ac:dyDescent="0.35">
      <c r="A76" s="14" t="str">
        <f>"Resultado: "&amp;IF(D73="Crítico","Alerta crítica",IF(D73="Óptimo",IF(A73=1,"Condiciones óptimas","Cultivo estabilizado"),"Revisión técnica"))&amp;". Lecturas tomadas: "&amp;A73&amp;"."</f>
        <v>Resultado: Condiciones óptimas. Lecturas tomadas: 1.</v>
      </c>
    </row>
    <row r="77" spans="1:11" ht="24" customHeight="1" x14ac:dyDescent="0.35">
      <c r="A77" s="2" t="s">
        <v>65</v>
      </c>
      <c r="B77" s="2" t="s">
        <v>66</v>
      </c>
      <c r="C77" s="2" t="s">
        <v>67</v>
      </c>
      <c r="D77" s="2" t="s">
        <v>68</v>
      </c>
      <c r="E77" s="2" t="s">
        <v>69</v>
      </c>
    </row>
    <row r="78" spans="1:11" x14ac:dyDescent="0.35">
      <c r="A78" s="15" t="s">
        <v>70</v>
      </c>
      <c r="B78" s="13">
        <f>F73</f>
        <v>24</v>
      </c>
      <c r="C78" s="13">
        <f>G73</f>
        <v>24</v>
      </c>
      <c r="D78" s="16">
        <f>J73/A73</f>
        <v>24</v>
      </c>
      <c r="E78" s="17" t="str">
        <f>_xlfn.TEXTJOIN("; ",TRUE(),B73:B73)</f>
        <v>24</v>
      </c>
    </row>
    <row r="79" spans="1:11" x14ac:dyDescent="0.35">
      <c r="A79" s="15" t="s">
        <v>71</v>
      </c>
      <c r="B79" s="13">
        <f>H73</f>
        <v>65</v>
      </c>
      <c r="C79" s="13">
        <f>I73</f>
        <v>65</v>
      </c>
      <c r="D79" s="16">
        <f>K73/A73</f>
        <v>65</v>
      </c>
      <c r="E79" s="17" t="str">
        <f>_xlfn.TEXTJOIN("; ",TRUE(),C73:C73)</f>
        <v>65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</vt:lpstr>
      <vt:lpstr>Prueba de diseño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ERIKA TATIANA SILVA PACHON</cp:lastModifiedBy>
  <cp:revision>0</cp:revision>
  <dcterms:created xsi:type="dcterms:W3CDTF">2026-10-10T21:24:41Z</dcterms:created>
  <dcterms:modified xsi:type="dcterms:W3CDTF">2026-10-10T21:32:31Z</dcterms:modified>
  <dc:language>en-US</dc:language>
</cp:coreProperties>
</file>